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tesi2\historical data sources\"/>
    </mc:Choice>
  </mc:AlternateContent>
  <xr:revisionPtr revIDLastSave="0" documentId="13_ncr:1_{0933E84A-4540-41C3-9841-D45A129A23D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ummary" sheetId="1" r:id="rId1"/>
    <sheet name="Sheet 1" sheetId="2" r:id="rId2"/>
    <sheet name="Sheet 2" sheetId="3" r:id="rId3"/>
    <sheet name="Sheet 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0" i="2" l="1"/>
  <c r="AQ19" i="2"/>
  <c r="AQ18" i="2"/>
  <c r="AQ17" i="2"/>
  <c r="AQ16" i="2"/>
</calcChain>
</file>

<file path=xl/sharedStrings.xml><?xml version="1.0" encoding="utf-8"?>
<sst xmlns="http://schemas.openxmlformats.org/spreadsheetml/2006/main" count="647" uniqueCount="75">
  <si>
    <t>Air emissions accounts for greenhouse gases by NACE Rev. 2 activity - quarterly data [env_ac_aigg_q__custom_21655595]</t>
  </si>
  <si>
    <t>Open product page</t>
  </si>
  <si>
    <t>Open in Data Browser</t>
  </si>
  <si>
    <t xml:space="preserve">Description: </t>
  </si>
  <si>
    <t>-</t>
  </si>
  <si>
    <t xml:space="preserve">Last update of data: </t>
  </si>
  <si>
    <t>13/05/2026 11:00</t>
  </si>
  <si>
    <t xml:space="preserve">Last change of data structure: </t>
  </si>
  <si>
    <t>Institutional source(s)</t>
  </si>
  <si>
    <t>Eurostat</t>
  </si>
  <si>
    <t>Contents</t>
  </si>
  <si>
    <t>Time frequency</t>
  </si>
  <si>
    <t>Seasonal adjustment</t>
  </si>
  <si>
    <t>Air pollutants and greenhouse gases</t>
  </si>
  <si>
    <t>Unit of measure</t>
  </si>
  <si>
    <t>Geopolitical entity (reporting)</t>
  </si>
  <si>
    <t>Sheet 1</t>
  </si>
  <si>
    <t>Quarterly</t>
  </si>
  <si>
    <t>Unadjusted data (i.e. neither seasonally adjusted nor calendar adjusted data)</t>
  </si>
  <si>
    <t>Greenhouse gases (CO2, N2O in CO2 equivalent, CH4 in CO2 equivalent, HFC in CO2 equivalent, PFC in CO2 equivalent, SF6 in CO2 equivalent, NF3 in CO2 equivalent)</t>
  </si>
  <si>
    <t>Thousand tonnes</t>
  </si>
  <si>
    <t>European Union - 27 countries (from 2020)</t>
  </si>
  <si>
    <t>Sheet 2</t>
  </si>
  <si>
    <t>Tonnes per capita</t>
  </si>
  <si>
    <t>Sheet 3</t>
  </si>
  <si>
    <t>Percentage change compared to same period in previous year</t>
  </si>
  <si>
    <t>Data extracted on 29/05/2026 21:00:33 from [ESTAT]</t>
  </si>
  <si>
    <t xml:space="preserve">Dataset: </t>
  </si>
  <si>
    <t xml:space="preserve">Last updated: </t>
  </si>
  <si>
    <t>TIME</t>
  </si>
  <si>
    <t>2017-Q1</t>
  </si>
  <si>
    <t/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</si>
  <si>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</si>
  <si>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</si>
  <si>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</si>
  <si>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</si>
  <si>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</si>
  <si>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</si>
  <si>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</si>
  <si>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</si>
  <si>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</si>
  <si>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</si>
  <si>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</si>
  <si>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</si>
  <si>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</si>
  <si>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</si>
  <si>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</si>
  <si>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</si>
  <si>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</si>
  <si>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</si>
  <si>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</si>
  <si>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</si>
  <si>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</si>
  <si>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</si>
  <si>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</si>
  <si>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</si>
  <si>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</si>
  <si>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</si>
  <si>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</si>
  <si>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</si>
  <si>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</si>
  <si>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</si>
  <si>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</si>
  <si>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</si>
  <si>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</si>
  <si>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</si>
  <si>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</si>
  <si>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NACE_R2 (Labels)</t>
  </si>
  <si>
    <t>All NACE activities plus households</t>
  </si>
  <si>
    <t>i</t>
  </si>
  <si>
    <t>Special value</t>
  </si>
  <si>
    <t>:</t>
  </si>
  <si>
    <t>not available</t>
  </si>
  <si>
    <t>Observation flags:</t>
  </si>
  <si>
    <t>value imputed by Eurostat or other receiving agencies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</si>
</sst>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5850865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env_ac_aigg_q__custom_21655595/default/table" TargetMode="External"/><Relationship Id="rId1" Type="http://schemas.openxmlformats.org/officeDocument/2006/relationships/hyperlink" Target="https://ec.europa.eu/eurostat/databrowser/product/page/env_ac_aigg_q__custom_216555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8"/>
  <sheetViews>
    <sheetView showGridLines="0" topLeftCell="D1" workbookViewId="0"/>
  </sheetViews>
  <sheetFormatPr defaultRowHeight="15" x14ac:dyDescent="0.25"/>
  <cols>
    <col min="1" max="1" width="19.85546875" customWidth="1"/>
    <col min="2" max="2" width="8.85546875" customWidth="1"/>
    <col min="3" max="3" width="14.42578125" customWidth="1"/>
    <col min="4" max="4" width="51.85546875" customWidth="1"/>
    <col min="5" max="5" width="114.5703125" customWidth="1"/>
    <col min="6" max="6" width="42.140625" customWidth="1"/>
    <col min="7" max="7" width="29.28515625" customWidth="1"/>
  </cols>
  <sheetData>
    <row r="6" spans="1:15" x14ac:dyDescent="0.25">
      <c r="A6" s="8" t="s">
        <v>0</v>
      </c>
    </row>
    <row r="7" spans="1:15" x14ac:dyDescent="0.25">
      <c r="A7" s="11" t="s">
        <v>1</v>
      </c>
      <c r="B7" s="11" t="s">
        <v>2</v>
      </c>
    </row>
    <row r="8" spans="1:15" ht="42.75" customHeight="1" x14ac:dyDescent="0.25">
      <c r="A8" s="9" t="s">
        <v>3</v>
      </c>
      <c r="B8" s="14" t="s">
        <v>4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10" spans="1:15" x14ac:dyDescent="0.25">
      <c r="A10" s="2" t="s">
        <v>5</v>
      </c>
      <c r="D10" s="2" t="s">
        <v>6</v>
      </c>
    </row>
    <row r="11" spans="1:15" x14ac:dyDescent="0.25">
      <c r="A11" s="2" t="s">
        <v>7</v>
      </c>
      <c r="D11" s="2" t="s">
        <v>6</v>
      </c>
    </row>
    <row r="13" spans="1:15" x14ac:dyDescent="0.25">
      <c r="B13" s="1" t="s">
        <v>8</v>
      </c>
    </row>
    <row r="14" spans="1:15" x14ac:dyDescent="0.25">
      <c r="C14" s="2" t="s">
        <v>9</v>
      </c>
    </row>
    <row r="15" spans="1:15" x14ac:dyDescent="0.25">
      <c r="B15" s="8" t="s">
        <v>10</v>
      </c>
      <c r="C15" s="8" t="s">
        <v>11</v>
      </c>
      <c r="D15" s="8" t="s">
        <v>12</v>
      </c>
      <c r="E15" s="8" t="s">
        <v>13</v>
      </c>
      <c r="F15" s="8" t="s">
        <v>14</v>
      </c>
      <c r="G15" s="8" t="s">
        <v>15</v>
      </c>
    </row>
    <row r="16" spans="1:15" x14ac:dyDescent="0.25">
      <c r="B16" s="12" t="s">
        <v>16</v>
      </c>
      <c r="C16" s="2" t="s">
        <v>17</v>
      </c>
      <c r="D16" s="2" t="s">
        <v>18</v>
      </c>
      <c r="E16" s="2" t="s">
        <v>19</v>
      </c>
      <c r="F16" s="2" t="s">
        <v>20</v>
      </c>
      <c r="G16" s="2" t="s">
        <v>21</v>
      </c>
    </row>
    <row r="17" spans="2:7" x14ac:dyDescent="0.25">
      <c r="B17" s="11" t="s">
        <v>22</v>
      </c>
      <c r="C17" s="10" t="s">
        <v>17</v>
      </c>
      <c r="D17" s="10" t="s">
        <v>18</v>
      </c>
      <c r="E17" s="10" t="s">
        <v>19</v>
      </c>
      <c r="F17" s="10" t="s">
        <v>23</v>
      </c>
      <c r="G17" s="10" t="s">
        <v>21</v>
      </c>
    </row>
    <row r="18" spans="2:7" x14ac:dyDescent="0.25">
      <c r="B18" s="12" t="s">
        <v>24</v>
      </c>
      <c r="C18" s="2" t="s">
        <v>17</v>
      </c>
      <c r="D18" s="2" t="s">
        <v>18</v>
      </c>
      <c r="E18" s="2" t="s">
        <v>19</v>
      </c>
      <c r="F18" s="2" t="s">
        <v>25</v>
      </c>
      <c r="G18" s="2" t="s">
        <v>21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20"/>
  <sheetViews>
    <sheetView tabSelected="1" workbookViewId="0">
      <pane xSplit="1" ySplit="12" topLeftCell="AQ13" activePane="bottomRight" state="frozen"/>
      <selection pane="topRight"/>
      <selection pane="bottomLeft"/>
      <selection pane="bottomRight" activeCell="BK31" sqref="BK31"/>
    </sheetView>
  </sheetViews>
  <sheetFormatPr defaultRowHeight="11.45" customHeight="1" x14ac:dyDescent="0.25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</cols>
  <sheetData>
    <row r="1" spans="1:73" x14ac:dyDescent="0.25">
      <c r="A1" s="2" t="s">
        <v>26</v>
      </c>
    </row>
    <row r="2" spans="1:73" x14ac:dyDescent="0.25">
      <c r="A2" s="2" t="s">
        <v>27</v>
      </c>
      <c r="B2" s="1" t="s">
        <v>0</v>
      </c>
    </row>
    <row r="3" spans="1:73" x14ac:dyDescent="0.25">
      <c r="A3" s="2" t="s">
        <v>28</v>
      </c>
      <c r="B3" s="2" t="s">
        <v>6</v>
      </c>
    </row>
    <row r="4" spans="1:73" x14ac:dyDescent="0.25"/>
    <row r="5" spans="1:73" x14ac:dyDescent="0.25">
      <c r="A5" s="1" t="s">
        <v>11</v>
      </c>
      <c r="C5" s="2" t="s">
        <v>17</v>
      </c>
    </row>
    <row r="6" spans="1:73" x14ac:dyDescent="0.25">
      <c r="A6" s="1" t="s">
        <v>12</v>
      </c>
      <c r="C6" s="2" t="s">
        <v>18</v>
      </c>
    </row>
    <row r="7" spans="1:73" x14ac:dyDescent="0.25">
      <c r="A7" s="1" t="s">
        <v>13</v>
      </c>
      <c r="C7" s="2" t="s">
        <v>19</v>
      </c>
    </row>
    <row r="8" spans="1:73" x14ac:dyDescent="0.25">
      <c r="A8" s="1" t="s">
        <v>14</v>
      </c>
      <c r="C8" s="2" t="s">
        <v>20</v>
      </c>
    </row>
    <row r="9" spans="1:73" x14ac:dyDescent="0.25">
      <c r="A9" s="1" t="s">
        <v>15</v>
      </c>
      <c r="C9" s="2" t="s">
        <v>21</v>
      </c>
    </row>
    <row r="10" spans="1:73" x14ac:dyDescent="0.25"/>
    <row r="11" spans="1:73" x14ac:dyDescent="0.25">
      <c r="A11" s="3" t="s">
        <v>29</v>
      </c>
      <c r="B11" s="16" t="s">
        <v>30</v>
      </c>
      <c r="C11" s="16" t="s">
        <v>31</v>
      </c>
      <c r="D11" s="16" t="s">
        <v>32</v>
      </c>
      <c r="E11" s="16" t="s">
        <v>31</v>
      </c>
      <c r="F11" s="16" t="s">
        <v>33</v>
      </c>
      <c r="G11" s="16" t="s">
        <v>31</v>
      </c>
      <c r="H11" s="16" t="s">
        <v>34</v>
      </c>
      <c r="I11" s="16" t="s">
        <v>31</v>
      </c>
      <c r="J11" s="16" t="s">
        <v>35</v>
      </c>
      <c r="K11" s="16" t="s">
        <v>31</v>
      </c>
      <c r="L11" s="16" t="s">
        <v>36</v>
      </c>
      <c r="M11" s="16" t="s">
        <v>31</v>
      </c>
      <c r="N11" s="16" t="s">
        <v>37</v>
      </c>
      <c r="O11" s="16" t="s">
        <v>31</v>
      </c>
      <c r="P11" s="16" t="s">
        <v>38</v>
      </c>
      <c r="Q11" s="16" t="s">
        <v>31</v>
      </c>
      <c r="R11" s="16" t="s">
        <v>39</v>
      </c>
      <c r="S11" s="16" t="s">
        <v>31</v>
      </c>
      <c r="T11" s="16" t="s">
        <v>40</v>
      </c>
      <c r="U11" s="16" t="s">
        <v>31</v>
      </c>
      <c r="V11" s="16" t="s">
        <v>41</v>
      </c>
      <c r="W11" s="16" t="s">
        <v>31</v>
      </c>
      <c r="X11" s="16" t="s">
        <v>42</v>
      </c>
      <c r="Y11" s="16" t="s">
        <v>31</v>
      </c>
      <c r="Z11" s="16" t="s">
        <v>43</v>
      </c>
      <c r="AA11" s="16" t="s">
        <v>31</v>
      </c>
      <c r="AB11" s="16" t="s">
        <v>44</v>
      </c>
      <c r="AC11" s="16" t="s">
        <v>31</v>
      </c>
      <c r="AD11" s="16" t="s">
        <v>45</v>
      </c>
      <c r="AE11" s="16" t="s">
        <v>31</v>
      </c>
      <c r="AF11" s="16" t="s">
        <v>46</v>
      </c>
      <c r="AG11" s="16" t="s">
        <v>31</v>
      </c>
      <c r="AH11" s="16" t="s">
        <v>47</v>
      </c>
      <c r="AI11" s="16" t="s">
        <v>31</v>
      </c>
      <c r="AJ11" s="16" t="s">
        <v>48</v>
      </c>
      <c r="AK11" s="16" t="s">
        <v>31</v>
      </c>
      <c r="AL11" s="16" t="s">
        <v>49</v>
      </c>
      <c r="AM11" s="16" t="s">
        <v>31</v>
      </c>
      <c r="AN11" s="16" t="s">
        <v>50</v>
      </c>
      <c r="AO11" s="16" t="s">
        <v>31</v>
      </c>
      <c r="AP11" s="16" t="s">
        <v>51</v>
      </c>
      <c r="AQ11" s="16" t="s">
        <v>31</v>
      </c>
      <c r="AR11" s="16" t="s">
        <v>52</v>
      </c>
      <c r="AS11" s="16" t="s">
        <v>31</v>
      </c>
      <c r="AT11" s="16" t="s">
        <v>53</v>
      </c>
      <c r="AU11" s="16" t="s">
        <v>31</v>
      </c>
      <c r="AV11" s="16" t="s">
        <v>54</v>
      </c>
      <c r="AW11" s="16" t="s">
        <v>31</v>
      </c>
      <c r="AX11" s="16" t="s">
        <v>55</v>
      </c>
      <c r="AY11" s="16" t="s">
        <v>31</v>
      </c>
      <c r="AZ11" s="16" t="s">
        <v>56</v>
      </c>
      <c r="BA11" s="16" t="s">
        <v>31</v>
      </c>
      <c r="BB11" s="16" t="s">
        <v>57</v>
      </c>
      <c r="BC11" s="16" t="s">
        <v>31</v>
      </c>
      <c r="BD11" s="16" t="s">
        <v>58</v>
      </c>
      <c r="BE11" s="16" t="s">
        <v>31</v>
      </c>
      <c r="BF11" s="16" t="s">
        <v>59</v>
      </c>
      <c r="BG11" s="16" t="s">
        <v>31</v>
      </c>
      <c r="BH11" s="16" t="s">
        <v>60</v>
      </c>
      <c r="BI11" s="16" t="s">
        <v>31</v>
      </c>
      <c r="BJ11" s="16" t="s">
        <v>61</v>
      </c>
      <c r="BK11" s="16" t="s">
        <v>31</v>
      </c>
      <c r="BL11" s="16" t="s">
        <v>62</v>
      </c>
      <c r="BM11" s="16" t="s">
        <v>31</v>
      </c>
      <c r="BN11" s="16" t="s">
        <v>63</v>
      </c>
      <c r="BO11" s="16" t="s">
        <v>31</v>
      </c>
      <c r="BP11" s="16" t="s">
        <v>64</v>
      </c>
      <c r="BQ11" s="16" t="s">
        <v>31</v>
      </c>
      <c r="BR11" s="16" t="s">
        <v>65</v>
      </c>
      <c r="BS11" s="16" t="s">
        <v>31</v>
      </c>
      <c r="BT11" s="16" t="s">
        <v>66</v>
      </c>
      <c r="BU11" s="16" t="s">
        <v>31</v>
      </c>
    </row>
    <row r="12" spans="1:73" x14ac:dyDescent="0.25">
      <c r="A12" s="4" t="s">
        <v>67</v>
      </c>
      <c r="B12" s="6" t="s">
        <v>31</v>
      </c>
      <c r="C12" s="6" t="s">
        <v>31</v>
      </c>
      <c r="D12" s="6" t="s">
        <v>31</v>
      </c>
      <c r="E12" s="6" t="s">
        <v>31</v>
      </c>
      <c r="F12" s="6" t="s">
        <v>31</v>
      </c>
      <c r="G12" s="6" t="s">
        <v>31</v>
      </c>
      <c r="H12" s="6" t="s">
        <v>31</v>
      </c>
      <c r="I12" s="6" t="s">
        <v>31</v>
      </c>
      <c r="J12" s="6" t="s">
        <v>31</v>
      </c>
      <c r="K12" s="6" t="s">
        <v>31</v>
      </c>
      <c r="L12" s="6" t="s">
        <v>31</v>
      </c>
      <c r="M12" s="6" t="s">
        <v>31</v>
      </c>
      <c r="N12" s="6" t="s">
        <v>31</v>
      </c>
      <c r="O12" s="6" t="s">
        <v>31</v>
      </c>
      <c r="P12" s="6" t="s">
        <v>31</v>
      </c>
      <c r="Q12" s="6" t="s">
        <v>31</v>
      </c>
      <c r="R12" s="6" t="s">
        <v>31</v>
      </c>
      <c r="S12" s="6" t="s">
        <v>31</v>
      </c>
      <c r="T12" s="6" t="s">
        <v>31</v>
      </c>
      <c r="U12" s="6" t="s">
        <v>31</v>
      </c>
      <c r="V12" s="6" t="s">
        <v>31</v>
      </c>
      <c r="W12" s="6" t="s">
        <v>31</v>
      </c>
      <c r="X12" s="6" t="s">
        <v>31</v>
      </c>
      <c r="Y12" s="6" t="s">
        <v>31</v>
      </c>
      <c r="Z12" s="6" t="s">
        <v>31</v>
      </c>
      <c r="AA12" s="6" t="s">
        <v>31</v>
      </c>
      <c r="AB12" s="6" t="s">
        <v>31</v>
      </c>
      <c r="AC12" s="6" t="s">
        <v>31</v>
      </c>
      <c r="AD12" s="6" t="s">
        <v>31</v>
      </c>
      <c r="AE12" s="6" t="s">
        <v>31</v>
      </c>
      <c r="AF12" s="6" t="s">
        <v>31</v>
      </c>
      <c r="AG12" s="6" t="s">
        <v>31</v>
      </c>
      <c r="AH12" s="6" t="s">
        <v>31</v>
      </c>
      <c r="AI12" s="6" t="s">
        <v>31</v>
      </c>
      <c r="AJ12" s="6" t="s">
        <v>31</v>
      </c>
      <c r="AK12" s="6" t="s">
        <v>31</v>
      </c>
      <c r="AL12" s="6" t="s">
        <v>31</v>
      </c>
      <c r="AM12" s="6" t="s">
        <v>31</v>
      </c>
      <c r="AN12" s="6" t="s">
        <v>31</v>
      </c>
      <c r="AO12" s="6" t="s">
        <v>31</v>
      </c>
      <c r="AP12" s="6" t="s">
        <v>31</v>
      </c>
      <c r="AQ12" s="6" t="s">
        <v>31</v>
      </c>
      <c r="AR12" s="6" t="s">
        <v>31</v>
      </c>
      <c r="AS12" s="6" t="s">
        <v>31</v>
      </c>
      <c r="AT12" s="6" t="s">
        <v>31</v>
      </c>
      <c r="AU12" s="6" t="s">
        <v>31</v>
      </c>
      <c r="AV12" s="6" t="s">
        <v>31</v>
      </c>
      <c r="AW12" s="6" t="s">
        <v>31</v>
      </c>
      <c r="AX12" s="6" t="s">
        <v>31</v>
      </c>
      <c r="AY12" s="6" t="s">
        <v>31</v>
      </c>
      <c r="AZ12" s="6" t="s">
        <v>31</v>
      </c>
      <c r="BA12" s="6" t="s">
        <v>31</v>
      </c>
      <c r="BB12" s="6" t="s">
        <v>31</v>
      </c>
      <c r="BC12" s="6" t="s">
        <v>31</v>
      </c>
      <c r="BD12" s="6" t="s">
        <v>31</v>
      </c>
      <c r="BE12" s="6" t="s">
        <v>31</v>
      </c>
      <c r="BF12" s="6" t="s">
        <v>31</v>
      </c>
      <c r="BG12" s="6" t="s">
        <v>31</v>
      </c>
      <c r="BH12" s="6" t="s">
        <v>31</v>
      </c>
      <c r="BI12" s="6" t="s">
        <v>31</v>
      </c>
      <c r="BJ12" s="6" t="s">
        <v>31</v>
      </c>
      <c r="BK12" s="6" t="s">
        <v>31</v>
      </c>
      <c r="BL12" s="6" t="s">
        <v>31</v>
      </c>
      <c r="BM12" s="6" t="s">
        <v>31</v>
      </c>
      <c r="BN12" s="6" t="s">
        <v>31</v>
      </c>
      <c r="BO12" s="6" t="s">
        <v>31</v>
      </c>
      <c r="BP12" s="6" t="s">
        <v>31</v>
      </c>
      <c r="BQ12" s="6" t="s">
        <v>31</v>
      </c>
      <c r="BR12" s="6" t="s">
        <v>31</v>
      </c>
      <c r="BS12" s="6" t="s">
        <v>31</v>
      </c>
      <c r="BT12" s="6" t="s">
        <v>31</v>
      </c>
      <c r="BU12" s="6" t="s">
        <v>31</v>
      </c>
    </row>
    <row r="13" spans="1:73" x14ac:dyDescent="0.25">
      <c r="A13" s="5" t="s">
        <v>68</v>
      </c>
      <c r="B13" s="13">
        <v>1102511.514</v>
      </c>
      <c r="C13" s="7" t="s">
        <v>69</v>
      </c>
      <c r="D13" s="13">
        <v>960867.66599999997</v>
      </c>
      <c r="E13" s="7" t="s">
        <v>69</v>
      </c>
      <c r="F13" s="13">
        <v>939742.45700000005</v>
      </c>
      <c r="G13" s="7" t="s">
        <v>69</v>
      </c>
      <c r="H13" s="13">
        <v>1076702.3829999999</v>
      </c>
      <c r="I13" s="7" t="s">
        <v>69</v>
      </c>
      <c r="J13" s="13">
        <v>1088762.3049999999</v>
      </c>
      <c r="K13" s="7" t="s">
        <v>69</v>
      </c>
      <c r="L13" s="13">
        <v>918201.51300000004</v>
      </c>
      <c r="M13" s="7" t="s">
        <v>69</v>
      </c>
      <c r="N13" s="13">
        <v>927568.59299999999</v>
      </c>
      <c r="O13" s="7" t="s">
        <v>69</v>
      </c>
      <c r="P13" s="13">
        <v>1053772.183</v>
      </c>
      <c r="Q13" s="7" t="s">
        <v>69</v>
      </c>
      <c r="R13" s="13">
        <v>1036696.295</v>
      </c>
      <c r="S13" s="7" t="s">
        <v>69</v>
      </c>
      <c r="T13" s="13">
        <v>913912.04099999997</v>
      </c>
      <c r="U13" s="7" t="s">
        <v>69</v>
      </c>
      <c r="V13" s="13">
        <v>888057.28799999994</v>
      </c>
      <c r="W13" s="7" t="s">
        <v>69</v>
      </c>
      <c r="X13" s="13">
        <v>999273.49899999995</v>
      </c>
      <c r="Y13" s="7" t="s">
        <v>69</v>
      </c>
      <c r="Z13" s="13">
        <v>961816.14800000004</v>
      </c>
      <c r="AA13" s="7" t="s">
        <v>69</v>
      </c>
      <c r="AB13" s="13">
        <v>730382.19200000004</v>
      </c>
      <c r="AC13" s="7" t="s">
        <v>69</v>
      </c>
      <c r="AD13" s="13">
        <v>820978.16099999996</v>
      </c>
      <c r="AE13" s="7" t="s">
        <v>69</v>
      </c>
      <c r="AF13" s="13">
        <v>950469.35800000001</v>
      </c>
      <c r="AG13" s="7" t="s">
        <v>69</v>
      </c>
      <c r="AH13" s="13">
        <v>955512.68099999998</v>
      </c>
      <c r="AI13" s="7" t="s">
        <v>69</v>
      </c>
      <c r="AJ13" s="13">
        <v>859662.58600000001</v>
      </c>
      <c r="AK13" s="7" t="s">
        <v>69</v>
      </c>
      <c r="AL13" s="13">
        <v>849644.16799999995</v>
      </c>
      <c r="AM13" s="7" t="s">
        <v>69</v>
      </c>
      <c r="AN13" s="13">
        <v>993627.78099999996</v>
      </c>
      <c r="AO13" s="7" t="s">
        <v>69</v>
      </c>
      <c r="AP13" s="13">
        <v>973745.31599999999</v>
      </c>
      <c r="AQ13" s="7" t="s">
        <v>69</v>
      </c>
      <c r="AR13" s="13">
        <v>858430.12699999998</v>
      </c>
      <c r="AS13" s="7" t="s">
        <v>69</v>
      </c>
      <c r="AT13" s="13">
        <v>843197.18799999997</v>
      </c>
      <c r="AU13" s="7" t="s">
        <v>69</v>
      </c>
      <c r="AV13" s="13">
        <v>925914.26100000006</v>
      </c>
      <c r="AW13" s="7" t="s">
        <v>69</v>
      </c>
      <c r="AX13" s="13">
        <v>908672.28599999996</v>
      </c>
      <c r="AY13" s="7" t="s">
        <v>69</v>
      </c>
      <c r="AZ13" s="13">
        <v>791429.26399999997</v>
      </c>
      <c r="BA13" s="7" t="s">
        <v>69</v>
      </c>
      <c r="BB13" s="13">
        <v>768168.01899999997</v>
      </c>
      <c r="BC13" s="7" t="s">
        <v>69</v>
      </c>
      <c r="BD13" s="13">
        <v>872934.446</v>
      </c>
      <c r="BE13" s="7" t="s">
        <v>69</v>
      </c>
      <c r="BF13" s="13">
        <v>869053.16099999996</v>
      </c>
      <c r="BG13" s="7" t="s">
        <v>69</v>
      </c>
      <c r="BH13" s="13">
        <v>772267.02500000002</v>
      </c>
      <c r="BI13" s="7" t="s">
        <v>69</v>
      </c>
      <c r="BJ13" s="13">
        <v>767943.48199999996</v>
      </c>
      <c r="BK13" s="7" t="s">
        <v>69</v>
      </c>
      <c r="BL13" s="13">
        <v>895758.70200000005</v>
      </c>
      <c r="BM13" s="7" t="s">
        <v>69</v>
      </c>
      <c r="BN13" s="13">
        <v>902887.37199999997</v>
      </c>
      <c r="BO13" s="7" t="s">
        <v>69</v>
      </c>
      <c r="BP13" s="13">
        <v>769652.53899999999</v>
      </c>
      <c r="BQ13" s="7" t="s">
        <v>69</v>
      </c>
      <c r="BR13" s="13">
        <v>768673.79500000004</v>
      </c>
      <c r="BS13" s="7" t="s">
        <v>69</v>
      </c>
      <c r="BT13" s="13">
        <v>898339.70900000003</v>
      </c>
      <c r="BU13" s="7" t="s">
        <v>69</v>
      </c>
    </row>
    <row r="15" spans="1:73" x14ac:dyDescent="0.25">
      <c r="A15" s="1" t="s">
        <v>70</v>
      </c>
    </row>
    <row r="16" spans="1:73" x14ac:dyDescent="0.25">
      <c r="A16" s="1" t="s">
        <v>71</v>
      </c>
      <c r="B16" s="2" t="s">
        <v>72</v>
      </c>
      <c r="AP16" s="13">
        <v>973745.31599999999</v>
      </c>
      <c r="AQ16">
        <f>AP16/1000</f>
        <v>973.745316</v>
      </c>
    </row>
    <row r="17" spans="1:43" x14ac:dyDescent="0.25">
      <c r="A17" s="1" t="s">
        <v>73</v>
      </c>
      <c r="AP17" s="13">
        <v>858430.12699999998</v>
      </c>
      <c r="AQ17">
        <f>AP17/1000</f>
        <v>858.43012699999997</v>
      </c>
    </row>
    <row r="18" spans="1:43" x14ac:dyDescent="0.25">
      <c r="A18" s="1" t="s">
        <v>69</v>
      </c>
      <c r="B18" s="2" t="s">
        <v>74</v>
      </c>
      <c r="AP18" s="13">
        <v>843197.18799999997</v>
      </c>
      <c r="AQ18">
        <f>AP18/1000</f>
        <v>843.19718799999998</v>
      </c>
    </row>
    <row r="19" spans="1:43" ht="11.45" customHeight="1" x14ac:dyDescent="0.25">
      <c r="AP19" s="13">
        <v>925914.26100000006</v>
      </c>
      <c r="AQ19">
        <f>AP19/1000</f>
        <v>925.91426100000001</v>
      </c>
    </row>
    <row r="20" spans="1:43" ht="11.45" customHeight="1" x14ac:dyDescent="0.25">
      <c r="AQ20">
        <f>SUM(AQ16:AQ19)</f>
        <v>3601.2868920000001</v>
      </c>
    </row>
  </sheetData>
  <mergeCells count="36">
    <mergeCell ref="BT11:BU11"/>
    <mergeCell ref="BJ11:BK11"/>
    <mergeCell ref="BL11:BM11"/>
    <mergeCell ref="BN11:BO11"/>
    <mergeCell ref="BP11:BQ11"/>
    <mergeCell ref="BR11:BS11"/>
    <mergeCell ref="AZ11:BA11"/>
    <mergeCell ref="BB11:BC11"/>
    <mergeCell ref="BD11:BE11"/>
    <mergeCell ref="BF11:BG11"/>
    <mergeCell ref="BH11:BI11"/>
    <mergeCell ref="AP11:AQ11"/>
    <mergeCell ref="AR11:AS11"/>
    <mergeCell ref="AT11:AU11"/>
    <mergeCell ref="AV11:AW11"/>
    <mergeCell ref="AX11:AY11"/>
    <mergeCell ref="AF11:AG11"/>
    <mergeCell ref="AH11:AI11"/>
    <mergeCell ref="AJ11:AK11"/>
    <mergeCell ref="AL11:AM11"/>
    <mergeCell ref="AN11:AO11"/>
    <mergeCell ref="V11:W11"/>
    <mergeCell ref="X11:Y11"/>
    <mergeCell ref="Z11:AA11"/>
    <mergeCell ref="AB11:AC11"/>
    <mergeCell ref="AD11:AE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18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</cols>
  <sheetData>
    <row r="1" spans="1:73" x14ac:dyDescent="0.25">
      <c r="A1" s="2" t="s">
        <v>26</v>
      </c>
    </row>
    <row r="2" spans="1:73" x14ac:dyDescent="0.25">
      <c r="A2" s="2" t="s">
        <v>27</v>
      </c>
      <c r="B2" s="1" t="s">
        <v>0</v>
      </c>
    </row>
    <row r="3" spans="1:73" x14ac:dyDescent="0.25">
      <c r="A3" s="2" t="s">
        <v>28</v>
      </c>
      <c r="B3" s="2" t="s">
        <v>6</v>
      </c>
    </row>
    <row r="4" spans="1:73" x14ac:dyDescent="0.25"/>
    <row r="5" spans="1:73" x14ac:dyDescent="0.25">
      <c r="A5" s="1" t="s">
        <v>11</v>
      </c>
      <c r="C5" s="2" t="s">
        <v>17</v>
      </c>
    </row>
    <row r="6" spans="1:73" x14ac:dyDescent="0.25">
      <c r="A6" s="1" t="s">
        <v>12</v>
      </c>
      <c r="C6" s="2" t="s">
        <v>18</v>
      </c>
    </row>
    <row r="7" spans="1:73" x14ac:dyDescent="0.25">
      <c r="A7" s="1" t="s">
        <v>13</v>
      </c>
      <c r="C7" s="2" t="s">
        <v>19</v>
      </c>
    </row>
    <row r="8" spans="1:73" x14ac:dyDescent="0.25">
      <c r="A8" s="1" t="s">
        <v>14</v>
      </c>
      <c r="C8" s="2" t="s">
        <v>23</v>
      </c>
    </row>
    <row r="9" spans="1:73" x14ac:dyDescent="0.25">
      <c r="A9" s="1" t="s">
        <v>15</v>
      </c>
      <c r="C9" s="2" t="s">
        <v>21</v>
      </c>
    </row>
    <row r="10" spans="1:73" x14ac:dyDescent="0.25"/>
    <row r="11" spans="1:73" x14ac:dyDescent="0.25">
      <c r="A11" s="3" t="s">
        <v>29</v>
      </c>
      <c r="B11" s="16" t="s">
        <v>30</v>
      </c>
      <c r="C11" s="16" t="s">
        <v>31</v>
      </c>
      <c r="D11" s="16" t="s">
        <v>32</v>
      </c>
      <c r="E11" s="16" t="s">
        <v>31</v>
      </c>
      <c r="F11" s="16" t="s">
        <v>33</v>
      </c>
      <c r="G11" s="16" t="s">
        <v>31</v>
      </c>
      <c r="H11" s="16" t="s">
        <v>34</v>
      </c>
      <c r="I11" s="16" t="s">
        <v>31</v>
      </c>
      <c r="J11" s="16" t="s">
        <v>35</v>
      </c>
      <c r="K11" s="16" t="s">
        <v>31</v>
      </c>
      <c r="L11" s="16" t="s">
        <v>36</v>
      </c>
      <c r="M11" s="16" t="s">
        <v>31</v>
      </c>
      <c r="N11" s="16" t="s">
        <v>37</v>
      </c>
      <c r="O11" s="16" t="s">
        <v>31</v>
      </c>
      <c r="P11" s="16" t="s">
        <v>38</v>
      </c>
      <c r="Q11" s="16" t="s">
        <v>31</v>
      </c>
      <c r="R11" s="16" t="s">
        <v>39</v>
      </c>
      <c r="S11" s="16" t="s">
        <v>31</v>
      </c>
      <c r="T11" s="16" t="s">
        <v>40</v>
      </c>
      <c r="U11" s="16" t="s">
        <v>31</v>
      </c>
      <c r="V11" s="16" t="s">
        <v>41</v>
      </c>
      <c r="W11" s="16" t="s">
        <v>31</v>
      </c>
      <c r="X11" s="16" t="s">
        <v>42</v>
      </c>
      <c r="Y11" s="16" t="s">
        <v>31</v>
      </c>
      <c r="Z11" s="16" t="s">
        <v>43</v>
      </c>
      <c r="AA11" s="16" t="s">
        <v>31</v>
      </c>
      <c r="AB11" s="16" t="s">
        <v>44</v>
      </c>
      <c r="AC11" s="16" t="s">
        <v>31</v>
      </c>
      <c r="AD11" s="16" t="s">
        <v>45</v>
      </c>
      <c r="AE11" s="16" t="s">
        <v>31</v>
      </c>
      <c r="AF11" s="16" t="s">
        <v>46</v>
      </c>
      <c r="AG11" s="16" t="s">
        <v>31</v>
      </c>
      <c r="AH11" s="16" t="s">
        <v>47</v>
      </c>
      <c r="AI11" s="16" t="s">
        <v>31</v>
      </c>
      <c r="AJ11" s="16" t="s">
        <v>48</v>
      </c>
      <c r="AK11" s="16" t="s">
        <v>31</v>
      </c>
      <c r="AL11" s="16" t="s">
        <v>49</v>
      </c>
      <c r="AM11" s="16" t="s">
        <v>31</v>
      </c>
      <c r="AN11" s="16" t="s">
        <v>50</v>
      </c>
      <c r="AO11" s="16" t="s">
        <v>31</v>
      </c>
      <c r="AP11" s="16" t="s">
        <v>51</v>
      </c>
      <c r="AQ11" s="16" t="s">
        <v>31</v>
      </c>
      <c r="AR11" s="16" t="s">
        <v>52</v>
      </c>
      <c r="AS11" s="16" t="s">
        <v>31</v>
      </c>
      <c r="AT11" s="16" t="s">
        <v>53</v>
      </c>
      <c r="AU11" s="16" t="s">
        <v>31</v>
      </c>
      <c r="AV11" s="16" t="s">
        <v>54</v>
      </c>
      <c r="AW11" s="16" t="s">
        <v>31</v>
      </c>
      <c r="AX11" s="16" t="s">
        <v>55</v>
      </c>
      <c r="AY11" s="16" t="s">
        <v>31</v>
      </c>
      <c r="AZ11" s="16" t="s">
        <v>56</v>
      </c>
      <c r="BA11" s="16" t="s">
        <v>31</v>
      </c>
      <c r="BB11" s="16" t="s">
        <v>57</v>
      </c>
      <c r="BC11" s="16" t="s">
        <v>31</v>
      </c>
      <c r="BD11" s="16" t="s">
        <v>58</v>
      </c>
      <c r="BE11" s="16" t="s">
        <v>31</v>
      </c>
      <c r="BF11" s="16" t="s">
        <v>59</v>
      </c>
      <c r="BG11" s="16" t="s">
        <v>31</v>
      </c>
      <c r="BH11" s="16" t="s">
        <v>60</v>
      </c>
      <c r="BI11" s="16" t="s">
        <v>31</v>
      </c>
      <c r="BJ11" s="16" t="s">
        <v>61</v>
      </c>
      <c r="BK11" s="16" t="s">
        <v>31</v>
      </c>
      <c r="BL11" s="16" t="s">
        <v>62</v>
      </c>
      <c r="BM11" s="16" t="s">
        <v>31</v>
      </c>
      <c r="BN11" s="16" t="s">
        <v>63</v>
      </c>
      <c r="BO11" s="16" t="s">
        <v>31</v>
      </c>
      <c r="BP11" s="16" t="s">
        <v>64</v>
      </c>
      <c r="BQ11" s="16" t="s">
        <v>31</v>
      </c>
      <c r="BR11" s="16" t="s">
        <v>65</v>
      </c>
      <c r="BS11" s="16" t="s">
        <v>31</v>
      </c>
      <c r="BT11" s="16" t="s">
        <v>66</v>
      </c>
      <c r="BU11" s="16" t="s">
        <v>31</v>
      </c>
    </row>
    <row r="12" spans="1:73" x14ac:dyDescent="0.25">
      <c r="A12" s="4" t="s">
        <v>67</v>
      </c>
      <c r="B12" s="6" t="s">
        <v>31</v>
      </c>
      <c r="C12" s="6" t="s">
        <v>31</v>
      </c>
      <c r="D12" s="6" t="s">
        <v>31</v>
      </c>
      <c r="E12" s="6" t="s">
        <v>31</v>
      </c>
      <c r="F12" s="6" t="s">
        <v>31</v>
      </c>
      <c r="G12" s="6" t="s">
        <v>31</v>
      </c>
      <c r="H12" s="6" t="s">
        <v>31</v>
      </c>
      <c r="I12" s="6" t="s">
        <v>31</v>
      </c>
      <c r="J12" s="6" t="s">
        <v>31</v>
      </c>
      <c r="K12" s="6" t="s">
        <v>31</v>
      </c>
      <c r="L12" s="6" t="s">
        <v>31</v>
      </c>
      <c r="M12" s="6" t="s">
        <v>31</v>
      </c>
      <c r="N12" s="6" t="s">
        <v>31</v>
      </c>
      <c r="O12" s="6" t="s">
        <v>31</v>
      </c>
      <c r="P12" s="6" t="s">
        <v>31</v>
      </c>
      <c r="Q12" s="6" t="s">
        <v>31</v>
      </c>
      <c r="R12" s="6" t="s">
        <v>31</v>
      </c>
      <c r="S12" s="6" t="s">
        <v>31</v>
      </c>
      <c r="T12" s="6" t="s">
        <v>31</v>
      </c>
      <c r="U12" s="6" t="s">
        <v>31</v>
      </c>
      <c r="V12" s="6" t="s">
        <v>31</v>
      </c>
      <c r="W12" s="6" t="s">
        <v>31</v>
      </c>
      <c r="X12" s="6" t="s">
        <v>31</v>
      </c>
      <c r="Y12" s="6" t="s">
        <v>31</v>
      </c>
      <c r="Z12" s="6" t="s">
        <v>31</v>
      </c>
      <c r="AA12" s="6" t="s">
        <v>31</v>
      </c>
      <c r="AB12" s="6" t="s">
        <v>31</v>
      </c>
      <c r="AC12" s="6" t="s">
        <v>31</v>
      </c>
      <c r="AD12" s="6" t="s">
        <v>31</v>
      </c>
      <c r="AE12" s="6" t="s">
        <v>31</v>
      </c>
      <c r="AF12" s="6" t="s">
        <v>31</v>
      </c>
      <c r="AG12" s="6" t="s">
        <v>31</v>
      </c>
      <c r="AH12" s="6" t="s">
        <v>31</v>
      </c>
      <c r="AI12" s="6" t="s">
        <v>31</v>
      </c>
      <c r="AJ12" s="6" t="s">
        <v>31</v>
      </c>
      <c r="AK12" s="6" t="s">
        <v>31</v>
      </c>
      <c r="AL12" s="6" t="s">
        <v>31</v>
      </c>
      <c r="AM12" s="6" t="s">
        <v>31</v>
      </c>
      <c r="AN12" s="6" t="s">
        <v>31</v>
      </c>
      <c r="AO12" s="6" t="s">
        <v>31</v>
      </c>
      <c r="AP12" s="6" t="s">
        <v>31</v>
      </c>
      <c r="AQ12" s="6" t="s">
        <v>31</v>
      </c>
      <c r="AR12" s="6" t="s">
        <v>31</v>
      </c>
      <c r="AS12" s="6" t="s">
        <v>31</v>
      </c>
      <c r="AT12" s="6" t="s">
        <v>31</v>
      </c>
      <c r="AU12" s="6" t="s">
        <v>31</v>
      </c>
      <c r="AV12" s="6" t="s">
        <v>31</v>
      </c>
      <c r="AW12" s="6" t="s">
        <v>31</v>
      </c>
      <c r="AX12" s="6" t="s">
        <v>31</v>
      </c>
      <c r="AY12" s="6" t="s">
        <v>31</v>
      </c>
      <c r="AZ12" s="6" t="s">
        <v>31</v>
      </c>
      <c r="BA12" s="6" t="s">
        <v>31</v>
      </c>
      <c r="BB12" s="6" t="s">
        <v>31</v>
      </c>
      <c r="BC12" s="6" t="s">
        <v>31</v>
      </c>
      <c r="BD12" s="6" t="s">
        <v>31</v>
      </c>
      <c r="BE12" s="6" t="s">
        <v>31</v>
      </c>
      <c r="BF12" s="6" t="s">
        <v>31</v>
      </c>
      <c r="BG12" s="6" t="s">
        <v>31</v>
      </c>
      <c r="BH12" s="6" t="s">
        <v>31</v>
      </c>
      <c r="BI12" s="6" t="s">
        <v>31</v>
      </c>
      <c r="BJ12" s="6" t="s">
        <v>31</v>
      </c>
      <c r="BK12" s="6" t="s">
        <v>31</v>
      </c>
      <c r="BL12" s="6" t="s">
        <v>31</v>
      </c>
      <c r="BM12" s="6" t="s">
        <v>31</v>
      </c>
      <c r="BN12" s="6" t="s">
        <v>31</v>
      </c>
      <c r="BO12" s="6" t="s">
        <v>31</v>
      </c>
      <c r="BP12" s="6" t="s">
        <v>31</v>
      </c>
      <c r="BQ12" s="6" t="s">
        <v>31</v>
      </c>
      <c r="BR12" s="6" t="s">
        <v>31</v>
      </c>
      <c r="BS12" s="6" t="s">
        <v>31</v>
      </c>
      <c r="BT12" s="6" t="s">
        <v>31</v>
      </c>
      <c r="BU12" s="6" t="s">
        <v>31</v>
      </c>
    </row>
    <row r="13" spans="1:73" x14ac:dyDescent="0.25">
      <c r="A13" s="5" t="s">
        <v>68</v>
      </c>
      <c r="B13" s="13">
        <v>2.4830000000000001</v>
      </c>
      <c r="C13" s="7" t="s">
        <v>69</v>
      </c>
      <c r="D13" s="13">
        <v>2.1640000000000001</v>
      </c>
      <c r="E13" s="7" t="s">
        <v>69</v>
      </c>
      <c r="F13" s="13">
        <v>2.1160000000000001</v>
      </c>
      <c r="G13" s="7" t="s">
        <v>69</v>
      </c>
      <c r="H13" s="13">
        <v>2.423</v>
      </c>
      <c r="I13" s="7" t="s">
        <v>69</v>
      </c>
      <c r="J13" s="13">
        <v>2.4489999999999998</v>
      </c>
      <c r="K13" s="7" t="s">
        <v>69</v>
      </c>
      <c r="L13" s="13">
        <v>2.0649999999999999</v>
      </c>
      <c r="M13" s="7" t="s">
        <v>69</v>
      </c>
      <c r="N13" s="13">
        <v>2.085</v>
      </c>
      <c r="O13" s="7" t="s">
        <v>69</v>
      </c>
      <c r="P13" s="13">
        <v>2.3679999999999999</v>
      </c>
      <c r="Q13" s="7" t="s">
        <v>69</v>
      </c>
      <c r="R13" s="13">
        <v>2.3279999999999998</v>
      </c>
      <c r="S13" s="7" t="s">
        <v>69</v>
      </c>
      <c r="T13" s="13">
        <v>2.052</v>
      </c>
      <c r="U13" s="7" t="s">
        <v>69</v>
      </c>
      <c r="V13" s="13">
        <v>1.9930000000000001</v>
      </c>
      <c r="W13" s="7" t="s">
        <v>69</v>
      </c>
      <c r="X13" s="13">
        <v>2.2410000000000001</v>
      </c>
      <c r="Y13" s="7" t="s">
        <v>69</v>
      </c>
      <c r="Z13" s="13">
        <v>2.161</v>
      </c>
      <c r="AA13" s="7" t="s">
        <v>69</v>
      </c>
      <c r="AB13" s="13">
        <v>1.641</v>
      </c>
      <c r="AC13" s="7" t="s">
        <v>69</v>
      </c>
      <c r="AD13" s="13">
        <v>1.845</v>
      </c>
      <c r="AE13" s="7" t="s">
        <v>69</v>
      </c>
      <c r="AF13" s="13">
        <v>2.1360000000000001</v>
      </c>
      <c r="AG13" s="7" t="s">
        <v>69</v>
      </c>
      <c r="AH13" s="13">
        <v>2.1480000000000001</v>
      </c>
      <c r="AI13" s="7" t="s">
        <v>69</v>
      </c>
      <c r="AJ13" s="13">
        <v>1.9339999999999999</v>
      </c>
      <c r="AK13" s="7" t="s">
        <v>69</v>
      </c>
      <c r="AL13" s="13">
        <v>1.911</v>
      </c>
      <c r="AM13" s="7" t="s">
        <v>69</v>
      </c>
      <c r="AN13" s="13">
        <v>2.234</v>
      </c>
      <c r="AO13" s="7" t="s">
        <v>69</v>
      </c>
      <c r="AP13" s="13">
        <v>2.1829999999999998</v>
      </c>
      <c r="AQ13" s="7" t="s">
        <v>69</v>
      </c>
      <c r="AR13" s="13">
        <v>1.919</v>
      </c>
      <c r="AS13" s="7" t="s">
        <v>69</v>
      </c>
      <c r="AT13" s="13">
        <v>1.8819999999999999</v>
      </c>
      <c r="AU13" s="7" t="s">
        <v>69</v>
      </c>
      <c r="AV13" s="13">
        <v>2.0640000000000001</v>
      </c>
      <c r="AW13" s="7" t="s">
        <v>69</v>
      </c>
      <c r="AX13" s="13">
        <v>2.0230000000000001</v>
      </c>
      <c r="AY13" s="7" t="s">
        <v>69</v>
      </c>
      <c r="AZ13" s="13">
        <v>1.7609999999999999</v>
      </c>
      <c r="BA13" s="7" t="s">
        <v>69</v>
      </c>
      <c r="BB13" s="13">
        <v>1.708</v>
      </c>
      <c r="BC13" s="7" t="s">
        <v>69</v>
      </c>
      <c r="BD13" s="13">
        <v>1.9379999999999999</v>
      </c>
      <c r="BE13" s="7" t="s">
        <v>69</v>
      </c>
      <c r="BF13" s="13">
        <v>1.929</v>
      </c>
      <c r="BG13" s="7" t="s">
        <v>69</v>
      </c>
      <c r="BH13" s="13">
        <v>1.7130000000000001</v>
      </c>
      <c r="BI13" s="7" t="s">
        <v>69</v>
      </c>
      <c r="BJ13" s="13">
        <v>1.702</v>
      </c>
      <c r="BK13" s="7" t="s">
        <v>69</v>
      </c>
      <c r="BL13" s="13">
        <v>1.984</v>
      </c>
      <c r="BM13" s="7" t="s">
        <v>69</v>
      </c>
      <c r="BN13" s="13">
        <v>1.9990000000000001</v>
      </c>
      <c r="BO13" s="7" t="s">
        <v>69</v>
      </c>
      <c r="BP13" s="13">
        <v>1.704</v>
      </c>
      <c r="BQ13" s="7" t="s">
        <v>69</v>
      </c>
      <c r="BR13" s="13">
        <v>1.7010000000000001</v>
      </c>
      <c r="BS13" s="7" t="s">
        <v>69</v>
      </c>
      <c r="BT13" s="13">
        <v>1.986</v>
      </c>
      <c r="BU13" s="7" t="s">
        <v>69</v>
      </c>
    </row>
    <row r="15" spans="1:73" x14ac:dyDescent="0.25">
      <c r="A15" s="1" t="s">
        <v>70</v>
      </c>
    </row>
    <row r="16" spans="1:73" x14ac:dyDescent="0.25">
      <c r="A16" s="1" t="s">
        <v>71</v>
      </c>
      <c r="B16" s="2" t="s">
        <v>72</v>
      </c>
    </row>
    <row r="17" spans="1:2" x14ac:dyDescent="0.25">
      <c r="A17" s="1" t="s">
        <v>73</v>
      </c>
    </row>
    <row r="18" spans="1:2" x14ac:dyDescent="0.25">
      <c r="A18" s="1" t="s">
        <v>69</v>
      </c>
      <c r="B18" s="2" t="s">
        <v>74</v>
      </c>
    </row>
  </sheetData>
  <mergeCells count="36">
    <mergeCell ref="BT11:BU11"/>
    <mergeCell ref="BJ11:BK11"/>
    <mergeCell ref="BL11:BM11"/>
    <mergeCell ref="BN11:BO11"/>
    <mergeCell ref="BP11:BQ11"/>
    <mergeCell ref="BR11:BS11"/>
    <mergeCell ref="AZ11:BA11"/>
    <mergeCell ref="BB11:BC11"/>
    <mergeCell ref="BD11:BE11"/>
    <mergeCell ref="BF11:BG11"/>
    <mergeCell ref="BH11:BI11"/>
    <mergeCell ref="AP11:AQ11"/>
    <mergeCell ref="AR11:AS11"/>
    <mergeCell ref="AT11:AU11"/>
    <mergeCell ref="AV11:AW11"/>
    <mergeCell ref="AX11:AY11"/>
    <mergeCell ref="AF11:AG11"/>
    <mergeCell ref="AH11:AI11"/>
    <mergeCell ref="AJ11:AK11"/>
    <mergeCell ref="AL11:AM11"/>
    <mergeCell ref="AN11:AO11"/>
    <mergeCell ref="V11:W11"/>
    <mergeCell ref="X11:Y11"/>
    <mergeCell ref="Z11:AA11"/>
    <mergeCell ref="AB11:AC11"/>
    <mergeCell ref="AD11:AE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U18"/>
  <sheetViews>
    <sheetView workbookViewId="0">
      <pane xSplit="1" ySplit="12" topLeftCell="B13" activePane="bottomRight" state="frozen"/>
      <selection pane="topRight"/>
      <selection pane="bottomLeft"/>
      <selection pane="bottomRight" activeCell="D13" sqref="D13"/>
    </sheetView>
  </sheetViews>
  <sheetFormatPr defaultRowHeight="11.45" customHeight="1" x14ac:dyDescent="0.25"/>
  <cols>
    <col min="1" max="1" width="29.85546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</cols>
  <sheetData>
    <row r="1" spans="1:73" x14ac:dyDescent="0.25">
      <c r="A1" s="2" t="s">
        <v>26</v>
      </c>
    </row>
    <row r="2" spans="1:73" x14ac:dyDescent="0.25">
      <c r="A2" s="2" t="s">
        <v>27</v>
      </c>
      <c r="B2" s="1" t="s">
        <v>0</v>
      </c>
    </row>
    <row r="3" spans="1:73" x14ac:dyDescent="0.25">
      <c r="A3" s="2" t="s">
        <v>28</v>
      </c>
      <c r="B3" s="2" t="s">
        <v>6</v>
      </c>
    </row>
    <row r="4" spans="1:73" x14ac:dyDescent="0.25"/>
    <row r="5" spans="1:73" x14ac:dyDescent="0.25">
      <c r="A5" s="1" t="s">
        <v>11</v>
      </c>
      <c r="C5" s="2" t="s">
        <v>17</v>
      </c>
    </row>
    <row r="6" spans="1:73" x14ac:dyDescent="0.25">
      <c r="A6" s="1" t="s">
        <v>12</v>
      </c>
      <c r="C6" s="2" t="s">
        <v>18</v>
      </c>
    </row>
    <row r="7" spans="1:73" x14ac:dyDescent="0.25">
      <c r="A7" s="1" t="s">
        <v>13</v>
      </c>
      <c r="C7" s="2" t="s">
        <v>19</v>
      </c>
    </row>
    <row r="8" spans="1:73" x14ac:dyDescent="0.25">
      <c r="A8" s="1" t="s">
        <v>14</v>
      </c>
      <c r="C8" s="2" t="s">
        <v>25</v>
      </c>
    </row>
    <row r="9" spans="1:73" x14ac:dyDescent="0.25">
      <c r="A9" s="1" t="s">
        <v>15</v>
      </c>
      <c r="C9" s="2" t="s">
        <v>21</v>
      </c>
    </row>
    <row r="10" spans="1:73" x14ac:dyDescent="0.25"/>
    <row r="11" spans="1:73" x14ac:dyDescent="0.25">
      <c r="A11" s="3" t="s">
        <v>29</v>
      </c>
      <c r="B11" s="16" t="s">
        <v>30</v>
      </c>
      <c r="C11" s="16" t="s">
        <v>31</v>
      </c>
      <c r="D11" s="16" t="s">
        <v>32</v>
      </c>
      <c r="E11" s="16" t="s">
        <v>31</v>
      </c>
      <c r="F11" s="16" t="s">
        <v>33</v>
      </c>
      <c r="G11" s="16" t="s">
        <v>31</v>
      </c>
      <c r="H11" s="16" t="s">
        <v>34</v>
      </c>
      <c r="I11" s="16" t="s">
        <v>31</v>
      </c>
      <c r="J11" s="16" t="s">
        <v>35</v>
      </c>
      <c r="K11" s="16" t="s">
        <v>31</v>
      </c>
      <c r="L11" s="16" t="s">
        <v>36</v>
      </c>
      <c r="M11" s="16" t="s">
        <v>31</v>
      </c>
      <c r="N11" s="16" t="s">
        <v>37</v>
      </c>
      <c r="O11" s="16" t="s">
        <v>31</v>
      </c>
      <c r="P11" s="16" t="s">
        <v>38</v>
      </c>
      <c r="Q11" s="16" t="s">
        <v>31</v>
      </c>
      <c r="R11" s="16" t="s">
        <v>39</v>
      </c>
      <c r="S11" s="16" t="s">
        <v>31</v>
      </c>
      <c r="T11" s="16" t="s">
        <v>40</v>
      </c>
      <c r="U11" s="16" t="s">
        <v>31</v>
      </c>
      <c r="V11" s="16" t="s">
        <v>41</v>
      </c>
      <c r="W11" s="16" t="s">
        <v>31</v>
      </c>
      <c r="X11" s="16" t="s">
        <v>42</v>
      </c>
      <c r="Y11" s="16" t="s">
        <v>31</v>
      </c>
      <c r="Z11" s="16" t="s">
        <v>43</v>
      </c>
      <c r="AA11" s="16" t="s">
        <v>31</v>
      </c>
      <c r="AB11" s="16" t="s">
        <v>44</v>
      </c>
      <c r="AC11" s="16" t="s">
        <v>31</v>
      </c>
      <c r="AD11" s="16" t="s">
        <v>45</v>
      </c>
      <c r="AE11" s="16" t="s">
        <v>31</v>
      </c>
      <c r="AF11" s="16" t="s">
        <v>46</v>
      </c>
      <c r="AG11" s="16" t="s">
        <v>31</v>
      </c>
      <c r="AH11" s="16" t="s">
        <v>47</v>
      </c>
      <c r="AI11" s="16" t="s">
        <v>31</v>
      </c>
      <c r="AJ11" s="16" t="s">
        <v>48</v>
      </c>
      <c r="AK11" s="16" t="s">
        <v>31</v>
      </c>
      <c r="AL11" s="16" t="s">
        <v>49</v>
      </c>
      <c r="AM11" s="16" t="s">
        <v>31</v>
      </c>
      <c r="AN11" s="16" t="s">
        <v>50</v>
      </c>
      <c r="AO11" s="16" t="s">
        <v>31</v>
      </c>
      <c r="AP11" s="16" t="s">
        <v>51</v>
      </c>
      <c r="AQ11" s="16" t="s">
        <v>31</v>
      </c>
      <c r="AR11" s="16" t="s">
        <v>52</v>
      </c>
      <c r="AS11" s="16" t="s">
        <v>31</v>
      </c>
      <c r="AT11" s="16" t="s">
        <v>53</v>
      </c>
      <c r="AU11" s="16" t="s">
        <v>31</v>
      </c>
      <c r="AV11" s="16" t="s">
        <v>54</v>
      </c>
      <c r="AW11" s="16" t="s">
        <v>31</v>
      </c>
      <c r="AX11" s="16" t="s">
        <v>55</v>
      </c>
      <c r="AY11" s="16" t="s">
        <v>31</v>
      </c>
      <c r="AZ11" s="16" t="s">
        <v>56</v>
      </c>
      <c r="BA11" s="16" t="s">
        <v>31</v>
      </c>
      <c r="BB11" s="16" t="s">
        <v>57</v>
      </c>
      <c r="BC11" s="16" t="s">
        <v>31</v>
      </c>
      <c r="BD11" s="16" t="s">
        <v>58</v>
      </c>
      <c r="BE11" s="16" t="s">
        <v>31</v>
      </c>
      <c r="BF11" s="16" t="s">
        <v>59</v>
      </c>
      <c r="BG11" s="16" t="s">
        <v>31</v>
      </c>
      <c r="BH11" s="16" t="s">
        <v>60</v>
      </c>
      <c r="BI11" s="16" t="s">
        <v>31</v>
      </c>
      <c r="BJ11" s="16" t="s">
        <v>61</v>
      </c>
      <c r="BK11" s="16" t="s">
        <v>31</v>
      </c>
      <c r="BL11" s="16" t="s">
        <v>62</v>
      </c>
      <c r="BM11" s="16" t="s">
        <v>31</v>
      </c>
      <c r="BN11" s="16" t="s">
        <v>63</v>
      </c>
      <c r="BO11" s="16" t="s">
        <v>31</v>
      </c>
      <c r="BP11" s="16" t="s">
        <v>64</v>
      </c>
      <c r="BQ11" s="16" t="s">
        <v>31</v>
      </c>
      <c r="BR11" s="16" t="s">
        <v>65</v>
      </c>
      <c r="BS11" s="16" t="s">
        <v>31</v>
      </c>
      <c r="BT11" s="16" t="s">
        <v>66</v>
      </c>
      <c r="BU11" s="16" t="s">
        <v>31</v>
      </c>
    </row>
    <row r="12" spans="1:73" x14ac:dyDescent="0.25">
      <c r="A12" s="4" t="s">
        <v>67</v>
      </c>
      <c r="B12" s="6" t="s">
        <v>31</v>
      </c>
      <c r="C12" s="6" t="s">
        <v>31</v>
      </c>
      <c r="D12" s="6" t="s">
        <v>31</v>
      </c>
      <c r="E12" s="6" t="s">
        <v>31</v>
      </c>
      <c r="F12" s="6" t="s">
        <v>31</v>
      </c>
      <c r="G12" s="6" t="s">
        <v>31</v>
      </c>
      <c r="H12" s="6" t="s">
        <v>31</v>
      </c>
      <c r="I12" s="6" t="s">
        <v>31</v>
      </c>
      <c r="J12" s="6" t="s">
        <v>31</v>
      </c>
      <c r="K12" s="6" t="s">
        <v>31</v>
      </c>
      <c r="L12" s="6" t="s">
        <v>31</v>
      </c>
      <c r="M12" s="6" t="s">
        <v>31</v>
      </c>
      <c r="N12" s="6" t="s">
        <v>31</v>
      </c>
      <c r="O12" s="6" t="s">
        <v>31</v>
      </c>
      <c r="P12" s="6" t="s">
        <v>31</v>
      </c>
      <c r="Q12" s="6" t="s">
        <v>31</v>
      </c>
      <c r="R12" s="6" t="s">
        <v>31</v>
      </c>
      <c r="S12" s="6" t="s">
        <v>31</v>
      </c>
      <c r="T12" s="6" t="s">
        <v>31</v>
      </c>
      <c r="U12" s="6" t="s">
        <v>31</v>
      </c>
      <c r="V12" s="6" t="s">
        <v>31</v>
      </c>
      <c r="W12" s="6" t="s">
        <v>31</v>
      </c>
      <c r="X12" s="6" t="s">
        <v>31</v>
      </c>
      <c r="Y12" s="6" t="s">
        <v>31</v>
      </c>
      <c r="Z12" s="6" t="s">
        <v>31</v>
      </c>
      <c r="AA12" s="6" t="s">
        <v>31</v>
      </c>
      <c r="AB12" s="6" t="s">
        <v>31</v>
      </c>
      <c r="AC12" s="6" t="s">
        <v>31</v>
      </c>
      <c r="AD12" s="6" t="s">
        <v>31</v>
      </c>
      <c r="AE12" s="6" t="s">
        <v>31</v>
      </c>
      <c r="AF12" s="6" t="s">
        <v>31</v>
      </c>
      <c r="AG12" s="6" t="s">
        <v>31</v>
      </c>
      <c r="AH12" s="6" t="s">
        <v>31</v>
      </c>
      <c r="AI12" s="6" t="s">
        <v>31</v>
      </c>
      <c r="AJ12" s="6" t="s">
        <v>31</v>
      </c>
      <c r="AK12" s="6" t="s">
        <v>31</v>
      </c>
      <c r="AL12" s="6" t="s">
        <v>31</v>
      </c>
      <c r="AM12" s="6" t="s">
        <v>31</v>
      </c>
      <c r="AN12" s="6" t="s">
        <v>31</v>
      </c>
      <c r="AO12" s="6" t="s">
        <v>31</v>
      </c>
      <c r="AP12" s="6" t="s">
        <v>31</v>
      </c>
      <c r="AQ12" s="6" t="s">
        <v>31</v>
      </c>
      <c r="AR12" s="6" t="s">
        <v>31</v>
      </c>
      <c r="AS12" s="6" t="s">
        <v>31</v>
      </c>
      <c r="AT12" s="6" t="s">
        <v>31</v>
      </c>
      <c r="AU12" s="6" t="s">
        <v>31</v>
      </c>
      <c r="AV12" s="6" t="s">
        <v>31</v>
      </c>
      <c r="AW12" s="6" t="s">
        <v>31</v>
      </c>
      <c r="AX12" s="6" t="s">
        <v>31</v>
      </c>
      <c r="AY12" s="6" t="s">
        <v>31</v>
      </c>
      <c r="AZ12" s="6" t="s">
        <v>31</v>
      </c>
      <c r="BA12" s="6" t="s">
        <v>31</v>
      </c>
      <c r="BB12" s="6" t="s">
        <v>31</v>
      </c>
      <c r="BC12" s="6" t="s">
        <v>31</v>
      </c>
      <c r="BD12" s="6" t="s">
        <v>31</v>
      </c>
      <c r="BE12" s="6" t="s">
        <v>31</v>
      </c>
      <c r="BF12" s="6" t="s">
        <v>31</v>
      </c>
      <c r="BG12" s="6" t="s">
        <v>31</v>
      </c>
      <c r="BH12" s="6" t="s">
        <v>31</v>
      </c>
      <c r="BI12" s="6" t="s">
        <v>31</v>
      </c>
      <c r="BJ12" s="6" t="s">
        <v>31</v>
      </c>
      <c r="BK12" s="6" t="s">
        <v>31</v>
      </c>
      <c r="BL12" s="6" t="s">
        <v>31</v>
      </c>
      <c r="BM12" s="6" t="s">
        <v>31</v>
      </c>
      <c r="BN12" s="6" t="s">
        <v>31</v>
      </c>
      <c r="BO12" s="6" t="s">
        <v>31</v>
      </c>
      <c r="BP12" s="6" t="s">
        <v>31</v>
      </c>
      <c r="BQ12" s="6" t="s">
        <v>31</v>
      </c>
      <c r="BR12" s="6" t="s">
        <v>31</v>
      </c>
      <c r="BS12" s="6" t="s">
        <v>31</v>
      </c>
      <c r="BT12" s="6" t="s">
        <v>31</v>
      </c>
      <c r="BU12" s="6" t="s">
        <v>31</v>
      </c>
    </row>
    <row r="13" spans="1:73" x14ac:dyDescent="0.25">
      <c r="A13" s="5" t="s">
        <v>68</v>
      </c>
      <c r="B13" s="13">
        <v>3.4609999999999999</v>
      </c>
      <c r="C13" s="7" t="s">
        <v>69</v>
      </c>
      <c r="D13" s="13">
        <v>1.736</v>
      </c>
      <c r="E13" s="7" t="s">
        <v>69</v>
      </c>
      <c r="F13" s="13">
        <v>1.337</v>
      </c>
      <c r="G13" s="7" t="s">
        <v>69</v>
      </c>
      <c r="H13" s="13">
        <v>-2.14</v>
      </c>
      <c r="I13" s="7" t="s">
        <v>69</v>
      </c>
      <c r="J13" s="13">
        <v>-1.2470000000000001</v>
      </c>
      <c r="K13" s="7" t="s">
        <v>69</v>
      </c>
      <c r="L13" s="13">
        <v>-4.4400000000000004</v>
      </c>
      <c r="M13" s="7" t="s">
        <v>69</v>
      </c>
      <c r="N13" s="13">
        <v>-1.2949999999999999</v>
      </c>
      <c r="O13" s="7" t="s">
        <v>69</v>
      </c>
      <c r="P13" s="13">
        <v>-2.13</v>
      </c>
      <c r="Q13" s="7" t="s">
        <v>69</v>
      </c>
      <c r="R13" s="13">
        <v>-4.782</v>
      </c>
      <c r="S13" s="7" t="s">
        <v>69</v>
      </c>
      <c r="T13" s="13">
        <v>-0.46700000000000003</v>
      </c>
      <c r="U13" s="7" t="s">
        <v>69</v>
      </c>
      <c r="V13" s="13">
        <v>-4.26</v>
      </c>
      <c r="W13" s="7" t="s">
        <v>69</v>
      </c>
      <c r="X13" s="13">
        <v>-5.1719999999999997</v>
      </c>
      <c r="Y13" s="7" t="s">
        <v>69</v>
      </c>
      <c r="Z13" s="13">
        <v>-7.2229999999999999</v>
      </c>
      <c r="AA13" s="7" t="s">
        <v>69</v>
      </c>
      <c r="AB13" s="13">
        <v>-20.082000000000001</v>
      </c>
      <c r="AC13" s="7" t="s">
        <v>69</v>
      </c>
      <c r="AD13" s="13">
        <v>-7.5529999999999999</v>
      </c>
      <c r="AE13" s="7" t="s">
        <v>69</v>
      </c>
      <c r="AF13" s="13">
        <v>-4.8840000000000003</v>
      </c>
      <c r="AG13" s="7" t="s">
        <v>69</v>
      </c>
      <c r="AH13" s="13">
        <v>-0.65500000000000003</v>
      </c>
      <c r="AI13" s="7" t="s">
        <v>69</v>
      </c>
      <c r="AJ13" s="13">
        <v>17.7</v>
      </c>
      <c r="AK13" s="7" t="s">
        <v>69</v>
      </c>
      <c r="AL13" s="13">
        <v>3.492</v>
      </c>
      <c r="AM13" s="7" t="s">
        <v>69</v>
      </c>
      <c r="AN13" s="13">
        <v>4.5410000000000004</v>
      </c>
      <c r="AO13" s="7" t="s">
        <v>69</v>
      </c>
      <c r="AP13" s="13">
        <v>1.9079999999999999</v>
      </c>
      <c r="AQ13" s="7" t="s">
        <v>69</v>
      </c>
      <c r="AR13" s="13">
        <v>-0.14299999999999999</v>
      </c>
      <c r="AS13" s="7" t="s">
        <v>69</v>
      </c>
      <c r="AT13" s="13">
        <v>-0.75900000000000001</v>
      </c>
      <c r="AU13" s="7" t="s">
        <v>69</v>
      </c>
      <c r="AV13" s="13">
        <v>-6.8150000000000004</v>
      </c>
      <c r="AW13" s="7" t="s">
        <v>69</v>
      </c>
      <c r="AX13" s="13">
        <v>-6.6829999999999998</v>
      </c>
      <c r="AY13" s="7" t="s">
        <v>69</v>
      </c>
      <c r="AZ13" s="13">
        <v>-7.8049999999999997</v>
      </c>
      <c r="BA13" s="7" t="s">
        <v>69</v>
      </c>
      <c r="BB13" s="13">
        <v>-8.8979999999999997</v>
      </c>
      <c r="BC13" s="7" t="s">
        <v>69</v>
      </c>
      <c r="BD13" s="13">
        <v>-5.7220000000000004</v>
      </c>
      <c r="BE13" s="7" t="s">
        <v>69</v>
      </c>
      <c r="BF13" s="13">
        <v>-4.3600000000000003</v>
      </c>
      <c r="BG13" s="7" t="s">
        <v>69</v>
      </c>
      <c r="BH13" s="13">
        <v>-2.4209999999999998</v>
      </c>
      <c r="BI13" s="7" t="s">
        <v>69</v>
      </c>
      <c r="BJ13" s="13">
        <v>-2.9000000000000001E-2</v>
      </c>
      <c r="BK13" s="7" t="s">
        <v>69</v>
      </c>
      <c r="BL13" s="13">
        <v>2.6150000000000002</v>
      </c>
      <c r="BM13" s="7" t="s">
        <v>69</v>
      </c>
      <c r="BN13" s="13">
        <v>3.8929999999999998</v>
      </c>
      <c r="BO13" s="7" t="s">
        <v>69</v>
      </c>
      <c r="BP13" s="13">
        <v>-0.33900000000000002</v>
      </c>
      <c r="BQ13" s="7" t="s">
        <v>69</v>
      </c>
      <c r="BR13" s="13">
        <v>9.5000000000000001E-2</v>
      </c>
      <c r="BS13" s="7" t="s">
        <v>69</v>
      </c>
      <c r="BT13" s="13">
        <v>0.28799999999999998</v>
      </c>
      <c r="BU13" s="7" t="s">
        <v>69</v>
      </c>
    </row>
    <row r="15" spans="1:73" x14ac:dyDescent="0.25">
      <c r="A15" s="1" t="s">
        <v>70</v>
      </c>
    </row>
    <row r="16" spans="1:73" x14ac:dyDescent="0.25">
      <c r="A16" s="1" t="s">
        <v>71</v>
      </c>
      <c r="B16" s="2" t="s">
        <v>72</v>
      </c>
    </row>
    <row r="17" spans="1:2" x14ac:dyDescent="0.25">
      <c r="A17" s="1" t="s">
        <v>73</v>
      </c>
    </row>
    <row r="18" spans="1:2" x14ac:dyDescent="0.25">
      <c r="A18" s="1" t="s">
        <v>69</v>
      </c>
      <c r="B18" s="2" t="s">
        <v>74</v>
      </c>
    </row>
  </sheetData>
  <mergeCells count="36">
    <mergeCell ref="BT11:BU11"/>
    <mergeCell ref="BJ11:BK11"/>
    <mergeCell ref="BL11:BM11"/>
    <mergeCell ref="BN11:BO11"/>
    <mergeCell ref="BP11:BQ11"/>
    <mergeCell ref="BR11:BS11"/>
    <mergeCell ref="AZ11:BA11"/>
    <mergeCell ref="BB11:BC11"/>
    <mergeCell ref="BD11:BE11"/>
    <mergeCell ref="BF11:BG11"/>
    <mergeCell ref="BH11:BI11"/>
    <mergeCell ref="AP11:AQ11"/>
    <mergeCell ref="AR11:AS11"/>
    <mergeCell ref="AT11:AU11"/>
    <mergeCell ref="AV11:AW11"/>
    <mergeCell ref="AX11:AY11"/>
    <mergeCell ref="AF11:AG11"/>
    <mergeCell ref="AH11:AI11"/>
    <mergeCell ref="AJ11:AK11"/>
    <mergeCell ref="AL11:AM11"/>
    <mergeCell ref="AN11:AO11"/>
    <mergeCell ref="V11:W11"/>
    <mergeCell ref="X11:Y11"/>
    <mergeCell ref="Z11:AA11"/>
    <mergeCell ref="AB11:AC11"/>
    <mergeCell ref="AD11:AE11"/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Sheet 1</vt:lpstr>
      <vt:lpstr>Sheet 2</vt:lpstr>
      <vt:lpstr>Sheet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PASCULLO ROSANGELA</cp:lastModifiedBy>
  <dcterms:created xsi:type="dcterms:W3CDTF">2026-05-29T19:00:33Z</dcterms:created>
  <dcterms:modified xsi:type="dcterms:W3CDTF">2026-05-29T19:17:40Z</dcterms:modified>
</cp:coreProperties>
</file>